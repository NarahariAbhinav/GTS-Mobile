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bhinav\Downloads\"/>
    </mc:Choice>
  </mc:AlternateContent>
  <xr:revisionPtr revIDLastSave="0" documentId="13_ncr:1_{903AA389-BE8A-4758-9450-A75B26375E92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Work Report (May 21–27)" sheetId="1" r:id="rId1"/>
    <sheet name="Summary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2" l="1"/>
  <c r="B5" i="2"/>
  <c r="B7" i="2" s="1"/>
  <c r="B4" i="2"/>
  <c r="B9" i="2" s="1"/>
</calcChain>
</file>

<file path=xl/sharedStrings.xml><?xml version="1.0" encoding="utf-8"?>
<sst xmlns="http://schemas.openxmlformats.org/spreadsheetml/2006/main" count="160" uniqueCount="105">
  <si>
    <t>GTS App – Weekly Work Report  |  May 21 – 27, 2026</t>
  </si>
  <si>
    <t>Project: GTS Garment Tracking System  |  Platform: React Native (Expo) + Node.js + Firebase</t>
  </si>
  <si>
    <t>#</t>
  </si>
  <si>
    <t>Date</t>
  </si>
  <si>
    <t>Module</t>
  </si>
  <si>
    <t>Task Description</t>
  </si>
  <si>
    <t>What Was Done</t>
  </si>
  <si>
    <t>Why It Matters</t>
  </si>
  <si>
    <t>Source</t>
  </si>
  <si>
    <t>Status</t>
  </si>
  <si>
    <t>21 May 2026</t>
  </si>
  <si>
    <t>Authentication &amp; Security</t>
  </si>
  <si>
    <t>Role-Based Access Control (RBAC)</t>
  </si>
  <si>
    <t>Added role (Admin/Employee) and password fields to Firestore. Built login API, AuthContext provider and useAuth() hook. Admins get 5 nav tabs; employees get 3.</t>
  </si>
  <si>
    <t>Prevents unauthorized access. Employees can only see their own transfers and samples.</t>
  </si>
  <si>
    <t>Team Leader – Interview Feedback</t>
  </si>
  <si>
    <t>Completed</t>
  </si>
  <si>
    <t>Database Schema</t>
  </si>
  <si>
    <t>Database Upgrade for Secure Login</t>
  </si>
  <si>
    <t>Added transfer_status, accepted_at, rejected_at, and rejection_reason columns to the transfers table.</t>
  </si>
  <si>
    <t>Full audit trail of every transfer attempt with timestamps for accountability.</t>
  </si>
  <si>
    <t>22 May 2026</t>
  </si>
  <si>
    <t>Handover Workflow</t>
  </si>
  <si>
    <t>Two-Step Verification (Handshake Protocol)</t>
  </si>
  <si>
    <t>Handovers now enter Pending Acceptance instead of instant transfer. Added accept/reject APIs and timestamps.</t>
  </si>
  <si>
    <t>Stops employees from falsely reporting a handover without the receiver's digital confirmation.</t>
  </si>
  <si>
    <t>Employee Workspace</t>
  </si>
  <si>
    <t>Employee Inbox &amp; My Samples View</t>
  </si>
  <si>
    <t>Built EmployeeWorkspaceScreen with Accept/Reject buttons. Reject opens a reason modal. Added GET /api/my-samples/:id endpoint.</t>
  </si>
  <si>
    <t>Employees have a dedicated space to manage incoming transfers and view samples they currently hold.</t>
  </si>
  <si>
    <t>23 May 2026</t>
  </si>
  <si>
    <t>UI/UX Scalability</t>
  </si>
  <si>
    <t>Searchable Dropdown Modals</t>
  </si>
  <si>
    <t>Replaced scroll lists with searchable modals for Garment and Employee selection. Auto-focus and live result count included.</t>
  </si>
  <si>
    <t>Scales to thousands of records without lag; users find what they need quickly.</t>
  </si>
  <si>
    <t>Client – Interview Question</t>
  </si>
  <si>
    <t>Tracking &amp; Analytics</t>
  </si>
  <si>
    <t>Unified Timeline Lifecycle Tracking</t>
  </si>
  <si>
    <t>Aggregated full handover history into a vertical timeline (Flipkart-style). Shows master data, current holder, and all past transfers in one view.</t>
  </si>
  <si>
    <t>Complete real-time visibility into where any garment sample is and who has handled it.</t>
  </si>
  <si>
    <t>25 May 2026</t>
  </si>
  <si>
    <t>Frontend Design System</t>
  </si>
  <si>
    <t>Premium Denim-Inspired UI Theme</t>
  </si>
  <si>
    <t>Standardized colors to Denim Dark (#1a2744) and Copper (#c27c3e). Improved contrast on text, icons, and status labels across all screens.</t>
  </si>
  <si>
    <t>Professional, fatigue-free UI that improves user adoption on the factory floor.</t>
  </si>
  <si>
    <t>Technical Improvement</t>
  </si>
  <si>
    <t>Employee Directory</t>
  </si>
  <si>
    <t>Department-Based Filtering</t>
  </si>
  <si>
    <t>Added filter chips to Employee Master for QA, Production, Merchandising, Dispatch, Design, and Sampling.</t>
  </si>
  <si>
    <t>Admins can quickly find staff by department when managing large teams.</t>
  </si>
  <si>
    <t>26 May 2026</t>
  </si>
  <si>
    <t>Communication System</t>
  </si>
  <si>
    <t>In-App Notification Engine</t>
  </si>
  <si>
    <t>Built GET /api/notifications/:employeeId endpoint. Integrated Firestore queries with pull-to-refresh and in-memory sorting.</t>
  </si>
  <si>
    <t>Employees are instantly alerted to pending transfers, reducing workflow delays.</t>
  </si>
  <si>
    <t>Technical Requirement</t>
  </si>
  <si>
    <t>27 May 2026</t>
  </si>
  <si>
    <t>Dashboard Analytics</t>
  </si>
  <si>
    <t>Admin Dashboard Data Orchestration</t>
  </si>
  <si>
    <t>Used Promise.all for parallel fetching of Samples, Employees, and Notifications stats. Added .catch() fallbacks to prevent crashes on API failure.</t>
  </si>
  <si>
    <t>Management gets a reliable, live overview of factory floor metrics and pending actions.</t>
  </si>
  <si>
    <t>APK Testing – Bug Fix</t>
  </si>
  <si>
    <t>Reporting &amp; Visibility</t>
  </si>
  <si>
    <t>Employee-Sample Drill-Down Tracking</t>
  </si>
  <si>
    <t>Added getMySamples() queries to Employee Master. Clicking any employee shows their held samples with garment names, style numbers, and statuses.</t>
  </si>
  <si>
    <t>Management can instantly audit which employee holds which garment at any moment.</t>
  </si>
  <si>
    <t>APK Testing – Team Leader</t>
  </si>
  <si>
    <t>DevOps &amp; Deployment</t>
  </si>
  <si>
    <t>Final Production Audit &amp; EAS Build Setup</t>
  </si>
  <si>
    <t>Fixed expo-doctor dependency conflicts. Auto-generated metro.config.js for Expo SDK 54. Integrated GTS logo as app icon and splash screen.</t>
  </si>
  <si>
    <t>Codebase is stable and compliant with modern build standards; ready for Android APK release.</t>
  </si>
  <si>
    <t>Release Preparation</t>
  </si>
  <si>
    <t>Transfers Page</t>
  </si>
  <si>
    <t>Barcode Scan Auto-Fill on Transfer Form</t>
  </si>
  <si>
    <t>Add the existing scan feature (from Tracking page) to the Transfers form so scanning a garment barcode auto-fills the sample field.</t>
  </si>
  <si>
    <t>Reduces manual entry errors and speeds up handovers on the factory floor.</t>
  </si>
  <si>
    <t>Pending</t>
  </si>
  <si>
    <t>Import Feature</t>
  </si>
  <si>
    <t>Fix Import 404 Error in APK</t>
  </si>
  <si>
    <t>Import feature throws a 404 error inside the production APK. Debug the API route and fix endpoint resolution.</t>
  </si>
  <si>
    <t>Critical bug blocking data import in production builds.</t>
  </si>
  <si>
    <t>APK Testing – Bug Report</t>
  </si>
  <si>
    <t>Email Reports</t>
  </si>
  <si>
    <t>Per-Employee Email Report Toggle</t>
  </si>
  <si>
    <t>Add email report button for employees (same as admin Excel export). Admin can enable or disable this feature per employee.</t>
  </si>
  <si>
    <t>Gives admins granular data-visibility control while empowering authorized employees.</t>
  </si>
  <si>
    <t>Excel Export</t>
  </si>
  <si>
    <t>Email Excel Reports Instead of Download</t>
  </si>
  <si>
    <t>When user clicks Export, send the Excel file to their registered email instead of downloading locally.</t>
  </si>
  <si>
    <t>Creates a professional daily report workflow with an automatic email audit trail.</t>
  </si>
  <si>
    <t>Notifications</t>
  </si>
  <si>
    <t>Fix Notifications &amp; Add Bell Icon</t>
  </si>
  <si>
    <t>Notifications not working in APK build. Employee screen header is also missing the notification bell icon.</t>
  </si>
  <si>
    <t>Employees cannot receive transfer alerts, causing workflow disruption.</t>
  </si>
  <si>
    <t>Weekly Summary  |  May 21–27, 2026</t>
  </si>
  <si>
    <t>Metric</t>
  </si>
  <si>
    <t>Value</t>
  </si>
  <si>
    <t>Total Tasks</t>
  </si>
  <si>
    <t>Completed Tasks</t>
  </si>
  <si>
    <t>Pending Tasks</t>
  </si>
  <si>
    <t>Completion Rate</t>
  </si>
  <si>
    <t>Days Active (May 21–27)</t>
  </si>
  <si>
    <t>Avg Tasks Per Day</t>
  </si>
  <si>
    <t>Tasks by Module</t>
  </si>
  <si>
    <t># Tasks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</si>
</sst>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1" x14ac:knownFonts="1">
    <font>
      <sz val="11"/>
      <color theme="1"/>
      <name val="Calibri"/>
      <family val="2"/>
      <charset val="1"/>
    </font>
    <font>
      <b/>
      <sz val="15"/>
      <color rgb="FFFFFFFF"/>
      <name val="Arial"/>
      <family val="2"/>
    </font>
    <font>
      <i/>
      <sz val="10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444444"/>
      <name val="Arial"/>
      <family val="2"/>
    </font>
    <font>
      <b/>
      <sz val="9"/>
      <color rgb="FF1A7A1A"/>
      <name val="Arial"/>
      <family val="2"/>
    </font>
    <font>
      <b/>
      <sz val="13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1A2744"/>
      <name val="Arial"/>
      <family val="2"/>
    </font>
    <font>
      <b/>
      <sz val="9"/>
      <color rgb="FFFFFFFF"/>
      <name val="Arial"/>
      <family val="2"/>
    </font>
    <font>
      <b/>
      <sz val="9"/>
      <color theme="6" tint="-0.49998474074526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A2744"/>
        <bgColor rgb="FF333300"/>
      </patternFill>
    </fill>
    <fill>
      <patternFill patternType="solid">
        <fgColor rgb="FFC27C3E"/>
        <bgColor rgb="FF888888"/>
      </patternFill>
    </fill>
    <fill>
      <patternFill patternType="solid">
        <fgColor rgb="FFFFFFFF"/>
        <bgColor rgb="FFFFF3CD"/>
      </patternFill>
    </fill>
    <fill>
      <patternFill patternType="solid">
        <fgColor rgb="FFD6E4F0"/>
        <bgColor rgb="FFCCFFFF"/>
      </patternFill>
    </fill>
    <fill>
      <patternFill patternType="solid">
        <fgColor theme="0"/>
        <bgColor rgb="FFFFFFFF"/>
      </patternFill>
    </fill>
    <fill>
      <patternFill patternType="solid">
        <fgColor theme="4" tint="0.79998168889431442"/>
        <bgColor rgb="FF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1A2744"/>
      </left>
      <right style="medium">
        <color rgb="FF1A2744"/>
      </right>
      <top style="medium">
        <color rgb="FF1A274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7" fillId="0" borderId="1" xfId="0" applyFont="1" applyBorder="1"/>
    <xf numFmtId="0" fontId="8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top" wrapText="1"/>
    </xf>
    <xf numFmtId="0" fontId="4" fillId="4" borderId="2" xfId="0" applyFont="1" applyFill="1" applyBorder="1" applyAlignment="1">
      <alignment horizontal="left" vertical="top" wrapText="1"/>
    </xf>
    <xf numFmtId="0" fontId="5" fillId="4" borderId="2" xfId="0" applyFont="1" applyFill="1" applyBorder="1" applyAlignment="1">
      <alignment horizontal="center" vertical="top" wrapText="1"/>
    </xf>
    <xf numFmtId="0" fontId="4" fillId="5" borderId="2" xfId="0" applyFont="1" applyFill="1" applyBorder="1" applyAlignment="1">
      <alignment horizontal="center" vertical="top" wrapText="1"/>
    </xf>
    <xf numFmtId="0" fontId="4" fillId="5" borderId="2" xfId="0" applyFont="1" applyFill="1" applyBorder="1" applyAlignment="1">
      <alignment horizontal="left" vertical="top" wrapText="1"/>
    </xf>
    <xf numFmtId="0" fontId="5" fillId="5" borderId="2" xfId="0" applyFont="1" applyFill="1" applyBorder="1" applyAlignment="1">
      <alignment horizontal="center" vertical="top" wrapText="1"/>
    </xf>
    <xf numFmtId="0" fontId="4" fillId="6" borderId="2" xfId="0" applyFont="1" applyFill="1" applyBorder="1" applyAlignment="1">
      <alignment horizontal="center" vertical="top" wrapText="1"/>
    </xf>
    <xf numFmtId="0" fontId="4" fillId="6" borderId="2" xfId="0" applyFont="1" applyFill="1" applyBorder="1" applyAlignment="1">
      <alignment horizontal="left" vertical="top" wrapText="1"/>
    </xf>
    <xf numFmtId="0" fontId="10" fillId="6" borderId="2" xfId="0" applyFont="1" applyFill="1" applyBorder="1" applyAlignment="1">
      <alignment horizontal="center" vertical="top" wrapText="1"/>
    </xf>
    <xf numFmtId="0" fontId="4" fillId="7" borderId="2" xfId="0" applyFont="1" applyFill="1" applyBorder="1" applyAlignment="1">
      <alignment horizontal="center" vertical="top" wrapText="1"/>
    </xf>
    <xf numFmtId="0" fontId="4" fillId="7" borderId="2" xfId="0" applyFont="1" applyFill="1" applyBorder="1" applyAlignment="1">
      <alignment horizontal="left" vertical="top" wrapText="1"/>
    </xf>
    <xf numFmtId="0" fontId="10" fillId="7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7A1A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3CD"/>
      <rgbColor rgb="FFCCFFFF"/>
      <rgbColor rgb="FF660066"/>
      <rgbColor rgb="FFC27C3E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2744"/>
      <rgbColor rgb="FF339966"/>
      <rgbColor rgb="FF003300"/>
      <rgbColor rgb="FF333300"/>
      <rgbColor rgb="FF9933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zoomScaleNormal="100" workbookViewId="0">
      <pane ySplit="4" topLeftCell="A18" activePane="bottomLeft" state="frozen"/>
      <selection pane="bottomLeft" activeCell="D22" sqref="D22"/>
    </sheetView>
  </sheetViews>
  <sheetFormatPr defaultColWidth="8.6640625" defaultRowHeight="14.4" x14ac:dyDescent="0.3"/>
  <cols>
    <col min="1" max="1" width="4" customWidth="1"/>
    <col min="2" max="2" width="14" customWidth="1"/>
    <col min="3" max="3" width="22" customWidth="1"/>
    <col min="4" max="4" width="32" customWidth="1"/>
    <col min="5" max="5" width="52" customWidth="1"/>
    <col min="6" max="6" width="38" customWidth="1"/>
    <col min="7" max="7" width="30" customWidth="1"/>
    <col min="8" max="8" width="12" customWidth="1"/>
  </cols>
  <sheetData>
    <row r="1" spans="1:8" ht="31.5" customHeight="1" x14ac:dyDescent="0.3">
      <c r="A1" s="4" t="s">
        <v>0</v>
      </c>
      <c r="B1" s="4"/>
      <c r="C1" s="4"/>
      <c r="D1" s="4"/>
      <c r="E1" s="4"/>
      <c r="F1" s="4"/>
      <c r="G1" s="4"/>
      <c r="H1" s="4"/>
    </row>
    <row r="2" spans="1:8" ht="18" customHeight="1" x14ac:dyDescent="0.3">
      <c r="A2" s="3" t="s">
        <v>1</v>
      </c>
      <c r="B2" s="3"/>
      <c r="C2" s="3"/>
      <c r="D2" s="3"/>
      <c r="E2" s="3"/>
      <c r="F2" s="3"/>
      <c r="G2" s="3"/>
      <c r="H2" s="3"/>
    </row>
    <row r="3" spans="1:8" ht="6" customHeight="1" thickBot="1" x14ac:dyDescent="0.35"/>
    <row r="4" spans="1:8" ht="21.75" customHeight="1" x14ac:dyDescent="0.3">
      <c r="A4" s="15" t="s">
        <v>2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</row>
    <row r="5" spans="1:8" ht="43.2" customHeight="1" x14ac:dyDescent="0.3">
      <c r="A5" s="16">
        <v>1</v>
      </c>
      <c r="B5" s="16" t="s">
        <v>10</v>
      </c>
      <c r="C5" s="17" t="s">
        <v>11</v>
      </c>
      <c r="D5" s="17" t="s">
        <v>12</v>
      </c>
      <c r="E5" s="17" t="s">
        <v>13</v>
      </c>
      <c r="F5" s="17" t="s">
        <v>14</v>
      </c>
      <c r="G5" s="16" t="s">
        <v>15</v>
      </c>
      <c r="H5" s="18" t="s">
        <v>16</v>
      </c>
    </row>
    <row r="6" spans="1:8" ht="36.6" customHeight="1" x14ac:dyDescent="0.3">
      <c r="A6" s="19">
        <v>2</v>
      </c>
      <c r="B6" s="19" t="s">
        <v>10</v>
      </c>
      <c r="C6" s="20" t="s">
        <v>17</v>
      </c>
      <c r="D6" s="20" t="s">
        <v>18</v>
      </c>
      <c r="E6" s="20" t="s">
        <v>19</v>
      </c>
      <c r="F6" s="20" t="s">
        <v>20</v>
      </c>
      <c r="G6" s="19" t="s">
        <v>15</v>
      </c>
      <c r="H6" s="21" t="s">
        <v>16</v>
      </c>
    </row>
    <row r="7" spans="1:8" ht="36" customHeight="1" x14ac:dyDescent="0.3">
      <c r="A7" s="16">
        <v>3</v>
      </c>
      <c r="B7" s="16" t="s">
        <v>21</v>
      </c>
      <c r="C7" s="17" t="s">
        <v>22</v>
      </c>
      <c r="D7" s="17" t="s">
        <v>23</v>
      </c>
      <c r="E7" s="17" t="s">
        <v>24</v>
      </c>
      <c r="F7" s="17" t="s">
        <v>25</v>
      </c>
      <c r="G7" s="16" t="s">
        <v>15</v>
      </c>
      <c r="H7" s="18" t="s">
        <v>16</v>
      </c>
    </row>
    <row r="8" spans="1:8" ht="41.4" customHeight="1" x14ac:dyDescent="0.3">
      <c r="A8" s="19">
        <v>4</v>
      </c>
      <c r="B8" s="19" t="s">
        <v>21</v>
      </c>
      <c r="C8" s="20" t="s">
        <v>26</v>
      </c>
      <c r="D8" s="20" t="s">
        <v>27</v>
      </c>
      <c r="E8" s="20" t="s">
        <v>28</v>
      </c>
      <c r="F8" s="20" t="s">
        <v>29</v>
      </c>
      <c r="G8" s="19" t="s">
        <v>15</v>
      </c>
      <c r="H8" s="21" t="s">
        <v>16</v>
      </c>
    </row>
    <row r="9" spans="1:8" ht="34.799999999999997" customHeight="1" x14ac:dyDescent="0.3">
      <c r="A9" s="16">
        <v>5</v>
      </c>
      <c r="B9" s="16" t="s">
        <v>30</v>
      </c>
      <c r="C9" s="17" t="s">
        <v>31</v>
      </c>
      <c r="D9" s="17" t="s">
        <v>32</v>
      </c>
      <c r="E9" s="17" t="s">
        <v>33</v>
      </c>
      <c r="F9" s="17" t="s">
        <v>34</v>
      </c>
      <c r="G9" s="16" t="s">
        <v>35</v>
      </c>
      <c r="H9" s="18" t="s">
        <v>16</v>
      </c>
    </row>
    <row r="10" spans="1:8" ht="37.200000000000003" customHeight="1" x14ac:dyDescent="0.3">
      <c r="A10" s="19">
        <v>6</v>
      </c>
      <c r="B10" s="19" t="s">
        <v>30</v>
      </c>
      <c r="C10" s="20" t="s">
        <v>36</v>
      </c>
      <c r="D10" s="20" t="s">
        <v>37</v>
      </c>
      <c r="E10" s="20" t="s">
        <v>38</v>
      </c>
      <c r="F10" s="20" t="s">
        <v>39</v>
      </c>
      <c r="G10" s="19" t="s">
        <v>35</v>
      </c>
      <c r="H10" s="21" t="s">
        <v>16</v>
      </c>
    </row>
    <row r="11" spans="1:8" ht="33.6" customHeight="1" x14ac:dyDescent="0.3">
      <c r="A11" s="16">
        <v>7</v>
      </c>
      <c r="B11" s="16" t="s">
        <v>40</v>
      </c>
      <c r="C11" s="17" t="s">
        <v>41</v>
      </c>
      <c r="D11" s="17" t="s">
        <v>42</v>
      </c>
      <c r="E11" s="17" t="s">
        <v>43</v>
      </c>
      <c r="F11" s="17" t="s">
        <v>44</v>
      </c>
      <c r="G11" s="16" t="s">
        <v>45</v>
      </c>
      <c r="H11" s="18" t="s">
        <v>16</v>
      </c>
    </row>
    <row r="12" spans="1:8" ht="40.200000000000003" customHeight="1" x14ac:dyDescent="0.3">
      <c r="A12" s="19">
        <v>8</v>
      </c>
      <c r="B12" s="19" t="s">
        <v>40</v>
      </c>
      <c r="C12" s="20" t="s">
        <v>46</v>
      </c>
      <c r="D12" s="20" t="s">
        <v>47</v>
      </c>
      <c r="E12" s="20" t="s">
        <v>48</v>
      </c>
      <c r="F12" s="20" t="s">
        <v>49</v>
      </c>
      <c r="G12" s="19" t="s">
        <v>45</v>
      </c>
      <c r="H12" s="21" t="s">
        <v>16</v>
      </c>
    </row>
    <row r="13" spans="1:8" ht="39" customHeight="1" x14ac:dyDescent="0.3">
      <c r="A13" s="16">
        <v>9</v>
      </c>
      <c r="B13" s="16" t="s">
        <v>50</v>
      </c>
      <c r="C13" s="17" t="s">
        <v>51</v>
      </c>
      <c r="D13" s="17" t="s">
        <v>52</v>
      </c>
      <c r="E13" s="17" t="s">
        <v>53</v>
      </c>
      <c r="F13" s="17" t="s">
        <v>54</v>
      </c>
      <c r="G13" s="16" t="s">
        <v>55</v>
      </c>
      <c r="H13" s="18" t="s">
        <v>16</v>
      </c>
    </row>
    <row r="14" spans="1:8" ht="43.8" customHeight="1" x14ac:dyDescent="0.3">
      <c r="A14" s="19">
        <v>10</v>
      </c>
      <c r="B14" s="19" t="s">
        <v>56</v>
      </c>
      <c r="C14" s="20" t="s">
        <v>57</v>
      </c>
      <c r="D14" s="20" t="s">
        <v>58</v>
      </c>
      <c r="E14" s="20" t="s">
        <v>59</v>
      </c>
      <c r="F14" s="20" t="s">
        <v>60</v>
      </c>
      <c r="G14" s="19" t="s">
        <v>61</v>
      </c>
      <c r="H14" s="21" t="s">
        <v>16</v>
      </c>
    </row>
    <row r="15" spans="1:8" ht="46.2" customHeight="1" x14ac:dyDescent="0.3">
      <c r="A15" s="16">
        <v>11</v>
      </c>
      <c r="B15" s="16" t="s">
        <v>56</v>
      </c>
      <c r="C15" s="17" t="s">
        <v>62</v>
      </c>
      <c r="D15" s="17" t="s">
        <v>63</v>
      </c>
      <c r="E15" s="17" t="s">
        <v>64</v>
      </c>
      <c r="F15" s="17" t="s">
        <v>65</v>
      </c>
      <c r="G15" s="16" t="s">
        <v>66</v>
      </c>
      <c r="H15" s="18" t="s">
        <v>16</v>
      </c>
    </row>
    <row r="16" spans="1:8" ht="46.8" customHeight="1" x14ac:dyDescent="0.3">
      <c r="A16" s="19">
        <v>12</v>
      </c>
      <c r="B16" s="19" t="s">
        <v>56</v>
      </c>
      <c r="C16" s="20" t="s">
        <v>67</v>
      </c>
      <c r="D16" s="20" t="s">
        <v>68</v>
      </c>
      <c r="E16" s="20" t="s">
        <v>69</v>
      </c>
      <c r="F16" s="20" t="s">
        <v>70</v>
      </c>
      <c r="G16" s="19" t="s">
        <v>71</v>
      </c>
      <c r="H16" s="21" t="s">
        <v>16</v>
      </c>
    </row>
    <row r="17" spans="1:8" ht="34.799999999999997" customHeight="1" x14ac:dyDescent="0.3">
      <c r="A17" s="22">
        <v>13</v>
      </c>
      <c r="B17" s="22" t="s">
        <v>56</v>
      </c>
      <c r="C17" s="23" t="s">
        <v>72</v>
      </c>
      <c r="D17" s="23" t="s">
        <v>73</v>
      </c>
      <c r="E17" s="23" t="s">
        <v>74</v>
      </c>
      <c r="F17" s="23" t="s">
        <v>75</v>
      </c>
      <c r="G17" s="22" t="s">
        <v>66</v>
      </c>
      <c r="H17" s="24" t="s">
        <v>16</v>
      </c>
    </row>
    <row r="18" spans="1:8" ht="36.6" customHeight="1" x14ac:dyDescent="0.3">
      <c r="A18" s="25">
        <v>14</v>
      </c>
      <c r="B18" s="25" t="s">
        <v>56</v>
      </c>
      <c r="C18" s="26" t="s">
        <v>77</v>
      </c>
      <c r="D18" s="26" t="s">
        <v>78</v>
      </c>
      <c r="E18" s="26" t="s">
        <v>79</v>
      </c>
      <c r="F18" s="26" t="s">
        <v>80</v>
      </c>
      <c r="G18" s="25" t="s">
        <v>81</v>
      </c>
      <c r="H18" s="27" t="s">
        <v>16</v>
      </c>
    </row>
    <row r="19" spans="1:8" ht="38.4" customHeight="1" x14ac:dyDescent="0.3">
      <c r="A19" s="22">
        <v>15</v>
      </c>
      <c r="B19" s="22" t="s">
        <v>56</v>
      </c>
      <c r="C19" s="23" t="s">
        <v>82</v>
      </c>
      <c r="D19" s="23" t="s">
        <v>83</v>
      </c>
      <c r="E19" s="23" t="s">
        <v>84</v>
      </c>
      <c r="F19" s="23" t="s">
        <v>85</v>
      </c>
      <c r="G19" s="22" t="s">
        <v>66</v>
      </c>
      <c r="H19" s="24" t="s">
        <v>16</v>
      </c>
    </row>
    <row r="20" spans="1:8" ht="40.799999999999997" customHeight="1" x14ac:dyDescent="0.3">
      <c r="A20" s="25">
        <v>16</v>
      </c>
      <c r="B20" s="25" t="s">
        <v>56</v>
      </c>
      <c r="C20" s="26" t="s">
        <v>86</v>
      </c>
      <c r="D20" s="26" t="s">
        <v>87</v>
      </c>
      <c r="E20" s="26" t="s">
        <v>88</v>
      </c>
      <c r="F20" s="26" t="s">
        <v>89</v>
      </c>
      <c r="G20" s="25" t="s">
        <v>66</v>
      </c>
      <c r="H20" s="27" t="s">
        <v>16</v>
      </c>
    </row>
    <row r="21" spans="1:8" ht="34.200000000000003" customHeight="1" x14ac:dyDescent="0.3">
      <c r="A21" s="22">
        <v>17</v>
      </c>
      <c r="B21" s="22" t="s">
        <v>56</v>
      </c>
      <c r="C21" s="23" t="s">
        <v>90</v>
      </c>
      <c r="D21" s="23" t="s">
        <v>91</v>
      </c>
      <c r="E21" s="23" t="s">
        <v>92</v>
      </c>
      <c r="F21" s="23" t="s">
        <v>93</v>
      </c>
      <c r="G21" s="22" t="s">
        <v>81</v>
      </c>
      <c r="H21" s="24" t="s">
        <v>16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8"/>
  <sheetViews>
    <sheetView zoomScaleNormal="100" workbookViewId="0">
      <pane ySplit="11" topLeftCell="A12" activePane="bottomLeft" state="frozen"/>
      <selection pane="bottomLeft"/>
    </sheetView>
  </sheetViews>
  <sheetFormatPr defaultColWidth="8.6640625" defaultRowHeight="14.4" x14ac:dyDescent="0.3"/>
  <cols>
    <col min="1" max="1" width="35" customWidth="1"/>
    <col min="2" max="4" width="12" customWidth="1"/>
  </cols>
  <sheetData>
    <row r="1" spans="1:4" ht="27.75" customHeight="1" x14ac:dyDescent="0.3">
      <c r="A1" s="2" t="s">
        <v>94</v>
      </c>
      <c r="B1" s="2"/>
      <c r="C1" s="2"/>
      <c r="D1" s="2"/>
    </row>
    <row r="3" spans="1:4" ht="15" customHeight="1" x14ac:dyDescent="0.3">
      <c r="A3" s="5" t="s">
        <v>95</v>
      </c>
      <c r="B3" s="5" t="s">
        <v>96</v>
      </c>
    </row>
    <row r="4" spans="1:4" ht="15" customHeight="1" x14ac:dyDescent="0.3">
      <c r="A4" s="6" t="s">
        <v>97</v>
      </c>
      <c r="B4" s="7">
        <f>COUNTA('Work Report (May 21–27)'!B5:B21)</f>
        <v>17</v>
      </c>
    </row>
    <row r="5" spans="1:4" ht="15" customHeight="1" x14ac:dyDescent="0.3">
      <c r="A5" s="6" t="s">
        <v>98</v>
      </c>
      <c r="B5" s="7">
        <f>COUNTIF('Work Report (May 21–27)'!H5:H21,"Completed")</f>
        <v>17</v>
      </c>
    </row>
    <row r="6" spans="1:4" ht="15" customHeight="1" x14ac:dyDescent="0.3">
      <c r="A6" s="6" t="s">
        <v>99</v>
      </c>
      <c r="B6" s="7">
        <f>COUNTIF('Work Report (May 21–27)'!H5:H21,"Pending")</f>
        <v>0</v>
      </c>
    </row>
    <row r="7" spans="1:4" ht="15" customHeight="1" x14ac:dyDescent="0.3">
      <c r="A7" s="6" t="s">
        <v>100</v>
      </c>
      <c r="B7" s="8">
        <f>B5/B4</f>
        <v>1</v>
      </c>
    </row>
    <row r="8" spans="1:4" ht="15" customHeight="1" x14ac:dyDescent="0.3">
      <c r="A8" s="6" t="s">
        <v>101</v>
      </c>
      <c r="B8" s="7">
        <v>6</v>
      </c>
    </row>
    <row r="9" spans="1:4" ht="15" customHeight="1" x14ac:dyDescent="0.3">
      <c r="A9" s="6" t="s">
        <v>102</v>
      </c>
      <c r="B9" s="9">
        <f>B4/6</f>
        <v>2.8333333333333335</v>
      </c>
    </row>
    <row r="10" spans="1:4" ht="15" customHeight="1" x14ac:dyDescent="0.3">
      <c r="A10" s="1" t="s">
        <v>103</v>
      </c>
      <c r="B10" s="1"/>
      <c r="C10" s="1"/>
      <c r="D10" s="1"/>
    </row>
    <row r="11" spans="1:4" ht="15" customHeight="1" x14ac:dyDescent="0.3">
      <c r="A11" s="10" t="s">
        <v>4</v>
      </c>
      <c r="B11" s="10" t="s">
        <v>104</v>
      </c>
      <c r="C11" s="10" t="s">
        <v>16</v>
      </c>
      <c r="D11" s="10" t="s">
        <v>76</v>
      </c>
    </row>
    <row r="12" spans="1:4" ht="15" customHeight="1" x14ac:dyDescent="0.3">
      <c r="A12" s="11" t="s">
        <v>11</v>
      </c>
      <c r="B12" s="12">
        <v>1</v>
      </c>
      <c r="C12" s="12">
        <v>1</v>
      </c>
      <c r="D12" s="12">
        <v>0</v>
      </c>
    </row>
    <row r="13" spans="1:4" ht="15" customHeight="1" x14ac:dyDescent="0.3">
      <c r="A13" s="13" t="s">
        <v>17</v>
      </c>
      <c r="B13" s="14">
        <v>1</v>
      </c>
      <c r="C13" s="14">
        <v>1</v>
      </c>
      <c r="D13" s="14">
        <v>0</v>
      </c>
    </row>
    <row r="14" spans="1:4" ht="15" customHeight="1" x14ac:dyDescent="0.3">
      <c r="A14" s="11" t="s">
        <v>22</v>
      </c>
      <c r="B14" s="12">
        <v>1</v>
      </c>
      <c r="C14" s="12">
        <v>1</v>
      </c>
      <c r="D14" s="12">
        <v>0</v>
      </c>
    </row>
    <row r="15" spans="1:4" ht="15" customHeight="1" x14ac:dyDescent="0.3">
      <c r="A15" s="13" t="s">
        <v>26</v>
      </c>
      <c r="B15" s="14">
        <v>1</v>
      </c>
      <c r="C15" s="14">
        <v>1</v>
      </c>
      <c r="D15" s="14">
        <v>0</v>
      </c>
    </row>
    <row r="16" spans="1:4" ht="15" customHeight="1" x14ac:dyDescent="0.3">
      <c r="A16" s="11" t="s">
        <v>31</v>
      </c>
      <c r="B16" s="12">
        <v>1</v>
      </c>
      <c r="C16" s="12">
        <v>1</v>
      </c>
      <c r="D16" s="12">
        <v>0</v>
      </c>
    </row>
    <row r="17" spans="1:4" ht="15" customHeight="1" x14ac:dyDescent="0.3">
      <c r="A17" s="13" t="s">
        <v>36</v>
      </c>
      <c r="B17" s="14">
        <v>1</v>
      </c>
      <c r="C17" s="14">
        <v>1</v>
      </c>
      <c r="D17" s="14">
        <v>0</v>
      </c>
    </row>
    <row r="18" spans="1:4" ht="15" customHeight="1" x14ac:dyDescent="0.3">
      <c r="A18" s="11" t="s">
        <v>41</v>
      </c>
      <c r="B18" s="12">
        <v>1</v>
      </c>
      <c r="C18" s="12">
        <v>1</v>
      </c>
      <c r="D18" s="12">
        <v>0</v>
      </c>
    </row>
    <row r="19" spans="1:4" ht="15" customHeight="1" x14ac:dyDescent="0.3">
      <c r="A19" s="13" t="s">
        <v>46</v>
      </c>
      <c r="B19" s="14">
        <v>1</v>
      </c>
      <c r="C19" s="14">
        <v>1</v>
      </c>
      <c r="D19" s="14">
        <v>0</v>
      </c>
    </row>
    <row r="20" spans="1:4" ht="15" customHeight="1" x14ac:dyDescent="0.3">
      <c r="A20" s="11" t="s">
        <v>51</v>
      </c>
      <c r="B20" s="12">
        <v>1</v>
      </c>
      <c r="C20" s="12">
        <v>1</v>
      </c>
      <c r="D20" s="12">
        <v>0</v>
      </c>
    </row>
    <row r="21" spans="1:4" ht="15" customHeight="1" x14ac:dyDescent="0.3">
      <c r="A21" s="13" t="s">
        <v>57</v>
      </c>
      <c r="B21" s="14">
        <v>1</v>
      </c>
      <c r="C21" s="14">
        <v>1</v>
      </c>
      <c r="D21" s="14">
        <v>0</v>
      </c>
    </row>
    <row r="22" spans="1:4" ht="15" customHeight="1" x14ac:dyDescent="0.3">
      <c r="A22" s="11" t="s">
        <v>62</v>
      </c>
      <c r="B22" s="12">
        <v>1</v>
      </c>
      <c r="C22" s="12">
        <v>1</v>
      </c>
      <c r="D22" s="12">
        <v>0</v>
      </c>
    </row>
    <row r="23" spans="1:4" ht="15" customHeight="1" x14ac:dyDescent="0.3">
      <c r="A23" s="13" t="s">
        <v>67</v>
      </c>
      <c r="B23" s="14">
        <v>1</v>
      </c>
      <c r="C23" s="14">
        <v>1</v>
      </c>
      <c r="D23" s="14">
        <v>0</v>
      </c>
    </row>
    <row r="24" spans="1:4" ht="15" customHeight="1" x14ac:dyDescent="0.3">
      <c r="A24" s="11" t="s">
        <v>72</v>
      </c>
      <c r="B24" s="12">
        <v>1</v>
      </c>
      <c r="C24" s="12">
        <v>0</v>
      </c>
      <c r="D24" s="12">
        <v>1</v>
      </c>
    </row>
    <row r="25" spans="1:4" ht="15" customHeight="1" x14ac:dyDescent="0.3">
      <c r="A25" s="13" t="s">
        <v>77</v>
      </c>
      <c r="B25" s="14">
        <v>1</v>
      </c>
      <c r="C25" s="14">
        <v>0</v>
      </c>
      <c r="D25" s="14">
        <v>1</v>
      </c>
    </row>
    <row r="26" spans="1:4" ht="15" customHeight="1" x14ac:dyDescent="0.3">
      <c r="A26" s="11" t="s">
        <v>82</v>
      </c>
      <c r="B26" s="12">
        <v>1</v>
      </c>
      <c r="C26" s="12">
        <v>0</v>
      </c>
      <c r="D26" s="12">
        <v>1</v>
      </c>
    </row>
    <row r="27" spans="1:4" ht="15" customHeight="1" x14ac:dyDescent="0.3">
      <c r="A27" s="13" t="s">
        <v>86</v>
      </c>
      <c r="B27" s="14">
        <v>1</v>
      </c>
      <c r="C27" s="14">
        <v>0</v>
      </c>
      <c r="D27" s="14">
        <v>1</v>
      </c>
    </row>
    <row r="28" spans="1:4" ht="15" customHeight="1" x14ac:dyDescent="0.3">
      <c r="A28" s="11" t="s">
        <v>90</v>
      </c>
      <c r="B28" s="12">
        <v>1</v>
      </c>
      <c r="C28" s="12">
        <v>0</v>
      </c>
      <c r="D28" s="12">
        <v>1</v>
      </c>
    </row>
  </sheetData>
  <mergeCells count="2">
    <mergeCell ref="A1:D1"/>
    <mergeCell ref="A10:D1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 Report (May 21–27)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Abhinav Narahari</cp:lastModifiedBy>
  <cp:revision>0</cp:revision>
  <dcterms:created xsi:type="dcterms:W3CDTF">2026-05-28T04:04:30Z</dcterms:created>
  <dcterms:modified xsi:type="dcterms:W3CDTF">2026-05-28T05:15:50Z</dcterms:modified>
  <dc:language>en-US</dc:language>
</cp:coreProperties>
</file>